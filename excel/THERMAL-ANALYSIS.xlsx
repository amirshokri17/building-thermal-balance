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6th Semester\Bioclimatic Building Design\"/>
    </mc:Choice>
  </mc:AlternateContent>
  <xr:revisionPtr revIDLastSave="0" documentId="13_ncr:1_{0958F7AD-318D-46B7-974C-8D8A0341745C}" xr6:coauthVersionLast="47" xr6:coauthVersionMax="47" xr10:uidLastSave="{00000000-0000-0000-0000-000000000000}"/>
  <bookViews>
    <workbookView xWindow="-103" yWindow="-103" windowWidth="22149" windowHeight="11829" activeTab="1" xr2:uid="{01122F41-D8B4-47D1-81EE-A7D23E566A91}"/>
  </bookViews>
  <sheets>
    <sheet name="Winter" sheetId="1" r:id="rId1"/>
    <sheet name="Sum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I15" i="2"/>
  <c r="J15" i="2" s="1"/>
  <c r="H42" i="2" s="1"/>
  <c r="C41" i="1"/>
  <c r="E38" i="2"/>
  <c r="F33" i="2"/>
  <c r="H26" i="2"/>
  <c r="M20" i="2"/>
  <c r="L20" i="2"/>
  <c r="D26" i="2"/>
  <c r="E26" i="2" s="1"/>
  <c r="I20" i="2"/>
  <c r="E20" i="2"/>
  <c r="E6" i="2"/>
  <c r="D15" i="2"/>
  <c r="E15" i="2" s="1"/>
  <c r="H6" i="2" s="1"/>
  <c r="K21" i="1"/>
  <c r="K30" i="1" s="1"/>
  <c r="H7" i="2"/>
  <c r="H8" i="2"/>
  <c r="H9" i="2"/>
  <c r="E9" i="2"/>
  <c r="E8" i="2"/>
  <c r="E7" i="2"/>
  <c r="C35" i="1"/>
  <c r="K27" i="1"/>
  <c r="K15" i="1"/>
  <c r="K7" i="1"/>
  <c r="K8" i="1"/>
  <c r="K9" i="1"/>
  <c r="K6" i="1"/>
  <c r="J27" i="1"/>
  <c r="J21" i="1"/>
  <c r="J15" i="1"/>
  <c r="J7" i="1"/>
  <c r="J8" i="1"/>
  <c r="J9" i="1"/>
  <c r="J6" i="1"/>
  <c r="F15" i="1"/>
  <c r="E27" i="1"/>
  <c r="D27" i="1"/>
  <c r="E21" i="1"/>
  <c r="D21" i="1"/>
  <c r="E9" i="1"/>
  <c r="E8" i="1"/>
  <c r="E7" i="1"/>
  <c r="E6" i="1"/>
  <c r="E15" i="1"/>
</calcChain>
</file>

<file path=xl/sharedStrings.xml><?xml version="1.0" encoding="utf-8"?>
<sst xmlns="http://schemas.openxmlformats.org/spreadsheetml/2006/main" count="116" uniqueCount="55">
  <si>
    <t>Walls:</t>
  </si>
  <si>
    <t>South West Wall</t>
  </si>
  <si>
    <t>South East Wall</t>
  </si>
  <si>
    <t>North East Wall</t>
  </si>
  <si>
    <t>North West Wall</t>
  </si>
  <si>
    <t>Vertical Dimension (m)</t>
  </si>
  <si>
    <t>Horizontal Dimension (m)</t>
  </si>
  <si>
    <t>Windows:</t>
  </si>
  <si>
    <t>South West Wall x4</t>
  </si>
  <si>
    <t>Area (m^2)</t>
  </si>
  <si>
    <t>Area Total (m^2)</t>
  </si>
  <si>
    <t>Floor:</t>
  </si>
  <si>
    <t>Width (m)</t>
  </si>
  <si>
    <t>Length (m)</t>
  </si>
  <si>
    <t>Ceiling:</t>
  </si>
  <si>
    <t>f_x</t>
  </si>
  <si>
    <t>Raised timber floor over crawlspace</t>
  </si>
  <si>
    <t>Sloped roof with insulation between rafters</t>
  </si>
  <si>
    <t>Double-glazed with wood/aluminum frames</t>
  </si>
  <si>
    <t>Timber frame + mineral wool/cellulose</t>
  </si>
  <si>
    <t>External Temperature (°C)</t>
  </si>
  <si>
    <t>Internal Temperature (°C)</t>
  </si>
  <si>
    <r>
      <t>∆</t>
    </r>
    <r>
      <rPr>
        <sz val="8.6"/>
        <color theme="1"/>
        <rFont val="Calibri"/>
        <family val="2"/>
      </rPr>
      <t>T</t>
    </r>
    <r>
      <rPr>
        <sz val="11"/>
        <color theme="1"/>
        <rFont val="Calibri"/>
        <family val="2"/>
      </rPr>
      <t xml:space="preserve"> (°C)</t>
    </r>
  </si>
  <si>
    <t>Q_loss (w)</t>
  </si>
  <si>
    <t>Q_tot,loss (by heat transfer)</t>
  </si>
  <si>
    <t>Heat Loss by Heat Transfer</t>
  </si>
  <si>
    <t xml:space="preserve">Heat Loss by Air Exchange </t>
  </si>
  <si>
    <t>Volume of heated space (m³)</t>
  </si>
  <si>
    <t>n (ACH)</t>
  </si>
  <si>
    <t>Q_tot,loss (by air exchange)</t>
  </si>
  <si>
    <t>Q_tot,loss</t>
  </si>
  <si>
    <t>Heat Exchange by Heat Transfer</t>
  </si>
  <si>
    <r>
      <t>∆</t>
    </r>
    <r>
      <rPr>
        <sz val="8.6"/>
        <color theme="1"/>
        <rFont val="Calibri"/>
        <family val="2"/>
      </rPr>
      <t>T_eq</t>
    </r>
    <r>
      <rPr>
        <sz val="11"/>
        <color theme="1"/>
        <rFont val="Calibri"/>
        <family val="2"/>
      </rPr>
      <t xml:space="preserve"> (°C)</t>
    </r>
  </si>
  <si>
    <t>∆T (°C)</t>
  </si>
  <si>
    <t>Q_wall (w)</t>
  </si>
  <si>
    <t>U (W/m²·C)</t>
  </si>
  <si>
    <t>External (ground) Temperature (°C)</t>
  </si>
  <si>
    <t>τ-value "glazing transmittance"</t>
  </si>
  <si>
    <t>Q_floor (w)</t>
  </si>
  <si>
    <t>I-value "solar irradiation" (w/m^2)</t>
  </si>
  <si>
    <t>Q_ceiling (w)</t>
  </si>
  <si>
    <t>Q_win (w)</t>
  </si>
  <si>
    <t>Q_solar (w)</t>
  </si>
  <si>
    <t>Heat Exchange by Air Exchange</t>
  </si>
  <si>
    <t>People:</t>
  </si>
  <si>
    <t>Assuming 3 people in the house, average value of sensible/latent heat between resting (seated)/light movement (standing)</t>
  </si>
  <si>
    <t>n (number of people)</t>
  </si>
  <si>
    <t>Q_sensible - (heating the air)</t>
  </si>
  <si>
    <t>Q_latent (sweating, breathing)</t>
  </si>
  <si>
    <t>Q_people (w)</t>
  </si>
  <si>
    <t>Mixed LED + halogen</t>
  </si>
  <si>
    <t>Heat Exchange by Lighting</t>
  </si>
  <si>
    <t>q_light (w/m^2)</t>
  </si>
  <si>
    <t>Q_light (w)</t>
  </si>
  <si>
    <t>Q_gain_tot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</si>
</sst>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.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E080-EC14-4154-8645-D22077360752}">
  <dimension ref="B1:M41"/>
  <sheetViews>
    <sheetView topLeftCell="A17" zoomScale="112" zoomScaleNormal="47" workbookViewId="0">
      <selection activeCell="C39" sqref="C39"/>
    </sheetView>
  </sheetViews>
  <sheetFormatPr defaultColWidth="24.23046875" defaultRowHeight="14.6" x14ac:dyDescent="0.4"/>
  <cols>
    <col min="1" max="16384" width="24.23046875" style="3"/>
  </cols>
  <sheetData>
    <row r="1" spans="2:12" ht="15" thickBot="1" x14ac:dyDescent="0.45"/>
    <row r="2" spans="2:12" ht="15" thickBot="1" x14ac:dyDescent="0.45">
      <c r="B2" s="4" t="s">
        <v>25</v>
      </c>
    </row>
    <row r="4" spans="2:12" ht="29.15" x14ac:dyDescent="0.4">
      <c r="B4" s="5" t="s">
        <v>0</v>
      </c>
      <c r="C4" s="6" t="s">
        <v>19</v>
      </c>
    </row>
    <row r="5" spans="2:12" x14ac:dyDescent="0.4">
      <c r="B5" s="7"/>
      <c r="C5" s="7" t="s">
        <v>6</v>
      </c>
      <c r="D5" s="7" t="s">
        <v>5</v>
      </c>
      <c r="E5" s="7" t="s">
        <v>9</v>
      </c>
      <c r="F5" s="7" t="s">
        <v>15</v>
      </c>
      <c r="G5" s="7" t="s">
        <v>35</v>
      </c>
      <c r="H5" s="7" t="s">
        <v>20</v>
      </c>
      <c r="I5" s="7" t="s">
        <v>21</v>
      </c>
      <c r="J5" s="8" t="s">
        <v>33</v>
      </c>
      <c r="K5" s="8" t="s">
        <v>23</v>
      </c>
    </row>
    <row r="6" spans="2:12" x14ac:dyDescent="0.4">
      <c r="B6" s="7" t="s">
        <v>1</v>
      </c>
      <c r="C6" s="7">
        <v>10.7</v>
      </c>
      <c r="D6" s="7">
        <v>7.5</v>
      </c>
      <c r="E6" s="7">
        <f>(C6*D6)-E15</f>
        <v>60.25</v>
      </c>
      <c r="F6" s="7">
        <v>0.51</v>
      </c>
      <c r="G6" s="7">
        <v>0.22</v>
      </c>
      <c r="H6" s="7">
        <v>1</v>
      </c>
      <c r="I6" s="7">
        <v>20</v>
      </c>
      <c r="J6" s="7">
        <f>I6-H6</f>
        <v>19</v>
      </c>
      <c r="K6" s="7">
        <f>F6*G6*E6*J6</f>
        <v>128.44095000000002</v>
      </c>
    </row>
    <row r="7" spans="2:12" x14ac:dyDescent="0.4">
      <c r="B7" s="7" t="s">
        <v>2</v>
      </c>
      <c r="C7" s="7">
        <v>12.77</v>
      </c>
      <c r="D7" s="7">
        <v>7.5</v>
      </c>
      <c r="E7" s="7">
        <f>C7*D7</f>
        <v>95.774999999999991</v>
      </c>
      <c r="F7" s="7">
        <v>0.54</v>
      </c>
      <c r="G7" s="7">
        <v>0.22</v>
      </c>
      <c r="H7" s="9">
        <v>1</v>
      </c>
      <c r="I7" s="7">
        <v>20</v>
      </c>
      <c r="J7" s="7">
        <f t="shared" ref="J7:J9" si="0">I7-H7</f>
        <v>19</v>
      </c>
      <c r="K7" s="7">
        <f t="shared" ref="K7:K15" si="1">F7*G7*E7*J7</f>
        <v>216.18332999999998</v>
      </c>
      <c r="L7" s="2"/>
    </row>
    <row r="8" spans="2:12" x14ac:dyDescent="0.4">
      <c r="B8" s="7" t="s">
        <v>3</v>
      </c>
      <c r="C8" s="7">
        <v>10.7</v>
      </c>
      <c r="D8" s="7">
        <v>7.5</v>
      </c>
      <c r="E8" s="7">
        <f>C8*D8</f>
        <v>80.25</v>
      </c>
      <c r="F8" s="7">
        <v>1.05</v>
      </c>
      <c r="G8" s="7">
        <v>0.22</v>
      </c>
      <c r="H8" s="9">
        <v>1</v>
      </c>
      <c r="I8" s="7">
        <v>20</v>
      </c>
      <c r="J8" s="7">
        <f t="shared" si="0"/>
        <v>19</v>
      </c>
      <c r="K8" s="7">
        <f t="shared" si="1"/>
        <v>352.21725000000004</v>
      </c>
      <c r="L8" s="2"/>
    </row>
    <row r="9" spans="2:12" x14ac:dyDescent="0.4">
      <c r="B9" s="7" t="s">
        <v>4</v>
      </c>
      <c r="C9" s="7">
        <v>12.77</v>
      </c>
      <c r="D9" s="7">
        <v>7.5</v>
      </c>
      <c r="E9" s="7">
        <f>C9*D9</f>
        <v>95.774999999999991</v>
      </c>
      <c r="F9" s="7">
        <v>1.02</v>
      </c>
      <c r="G9" s="7">
        <v>0.22</v>
      </c>
      <c r="H9" s="9">
        <v>1</v>
      </c>
      <c r="I9" s="7">
        <v>20</v>
      </c>
      <c r="J9" s="7">
        <f t="shared" si="0"/>
        <v>19</v>
      </c>
      <c r="K9" s="7">
        <f t="shared" si="1"/>
        <v>408.34629000000001</v>
      </c>
      <c r="L9" s="2"/>
    </row>
    <row r="10" spans="2:12" x14ac:dyDescent="0.4">
      <c r="H10" s="2"/>
      <c r="I10" s="1"/>
      <c r="J10" s="1"/>
      <c r="K10" s="1"/>
      <c r="L10" s="2"/>
    </row>
    <row r="11" spans="2:12" x14ac:dyDescent="0.4">
      <c r="H11" s="2"/>
      <c r="I11" s="1"/>
      <c r="J11" s="1"/>
      <c r="K11" s="1"/>
      <c r="L11" s="2"/>
    </row>
    <row r="12" spans="2:12" x14ac:dyDescent="0.4">
      <c r="H12" s="2"/>
      <c r="I12" s="1"/>
      <c r="J12" s="1"/>
      <c r="K12" s="1"/>
      <c r="L12" s="2"/>
    </row>
    <row r="13" spans="2:12" ht="29.15" x14ac:dyDescent="0.4">
      <c r="B13" s="5" t="s">
        <v>7</v>
      </c>
      <c r="C13" s="6" t="s">
        <v>18</v>
      </c>
      <c r="H13" s="2"/>
      <c r="I13" s="1"/>
      <c r="J13" s="1"/>
      <c r="K13" s="1"/>
      <c r="L13" s="2"/>
    </row>
    <row r="14" spans="2:12" x14ac:dyDescent="0.4">
      <c r="B14" s="7"/>
      <c r="C14" s="7" t="s">
        <v>6</v>
      </c>
      <c r="D14" s="7" t="s">
        <v>5</v>
      </c>
      <c r="E14" s="7" t="s">
        <v>10</v>
      </c>
      <c r="F14" s="7" t="s">
        <v>15</v>
      </c>
      <c r="G14" s="7" t="s">
        <v>35</v>
      </c>
      <c r="H14" s="7" t="s">
        <v>20</v>
      </c>
      <c r="I14" s="7" t="s">
        <v>21</v>
      </c>
      <c r="J14" s="8" t="s">
        <v>22</v>
      </c>
      <c r="K14" s="8" t="s">
        <v>23</v>
      </c>
      <c r="L14" s="2"/>
    </row>
    <row r="15" spans="2:12" x14ac:dyDescent="0.4">
      <c r="B15" s="7" t="s">
        <v>8</v>
      </c>
      <c r="C15" s="7">
        <v>2.5</v>
      </c>
      <c r="D15" s="7">
        <v>2</v>
      </c>
      <c r="E15" s="7">
        <f>(C15*D15)*4</f>
        <v>20</v>
      </c>
      <c r="F15" s="7">
        <f>F6</f>
        <v>0.51</v>
      </c>
      <c r="G15" s="7">
        <v>1.2</v>
      </c>
      <c r="H15" s="9">
        <v>1</v>
      </c>
      <c r="I15" s="7">
        <v>20</v>
      </c>
      <c r="J15" s="10">
        <f>I15-H15</f>
        <v>19</v>
      </c>
      <c r="K15" s="10">
        <f>F15*G15*E15*J15</f>
        <v>232.56</v>
      </c>
      <c r="L15" s="2"/>
    </row>
    <row r="16" spans="2:12" x14ac:dyDescent="0.4">
      <c r="H16" s="2"/>
      <c r="I16" s="1"/>
      <c r="J16" s="1"/>
      <c r="K16" s="1"/>
      <c r="L16" s="2"/>
    </row>
    <row r="17" spans="2:13" x14ac:dyDescent="0.4">
      <c r="H17" s="2"/>
      <c r="I17" s="1"/>
      <c r="J17" s="1"/>
      <c r="K17" s="1"/>
      <c r="L17" s="2"/>
    </row>
    <row r="19" spans="2:13" ht="29.15" x14ac:dyDescent="0.4">
      <c r="B19" s="5" t="s">
        <v>11</v>
      </c>
      <c r="C19" s="6" t="s">
        <v>16</v>
      </c>
    </row>
    <row r="20" spans="2:13" x14ac:dyDescent="0.4">
      <c r="B20" s="7"/>
      <c r="C20" s="7" t="s">
        <v>12</v>
      </c>
      <c r="D20" s="7" t="s">
        <v>13</v>
      </c>
      <c r="E20" s="7" t="s">
        <v>9</v>
      </c>
      <c r="F20" s="7" t="s">
        <v>15</v>
      </c>
      <c r="G20" s="7" t="s">
        <v>35</v>
      </c>
      <c r="H20" s="7" t="s">
        <v>20</v>
      </c>
      <c r="I20" s="7" t="s">
        <v>21</v>
      </c>
      <c r="J20" s="8" t="s">
        <v>22</v>
      </c>
      <c r="K20" s="8" t="s">
        <v>23</v>
      </c>
    </row>
    <row r="21" spans="2:13" x14ac:dyDescent="0.4">
      <c r="B21" s="7"/>
      <c r="C21" s="7">
        <v>10.7</v>
      </c>
      <c r="D21" s="7">
        <f>12.77</f>
        <v>12.77</v>
      </c>
      <c r="E21" s="7">
        <f>C21*D21</f>
        <v>136.63899999999998</v>
      </c>
      <c r="F21" s="7">
        <v>1</v>
      </c>
      <c r="G21" s="7">
        <v>0.28000000000000003</v>
      </c>
      <c r="H21" s="7">
        <v>8</v>
      </c>
      <c r="I21" s="7">
        <v>20</v>
      </c>
      <c r="J21" s="7">
        <f>I21-H21</f>
        <v>12</v>
      </c>
      <c r="K21" s="7">
        <f>F21*G21*E21*J21</f>
        <v>459.10703999999998</v>
      </c>
    </row>
    <row r="22" spans="2:13" x14ac:dyDescent="0.4">
      <c r="K22" s="2"/>
      <c r="L22" s="2"/>
      <c r="M22" s="2"/>
    </row>
    <row r="23" spans="2:13" x14ac:dyDescent="0.4">
      <c r="K23" s="2"/>
      <c r="L23" s="1"/>
      <c r="M23" s="2"/>
    </row>
    <row r="24" spans="2:13" x14ac:dyDescent="0.4">
      <c r="K24" s="2"/>
      <c r="L24" s="1"/>
      <c r="M24" s="2"/>
    </row>
    <row r="25" spans="2:13" ht="29.15" x14ac:dyDescent="0.4">
      <c r="B25" s="5" t="s">
        <v>14</v>
      </c>
      <c r="C25" s="6" t="s">
        <v>17</v>
      </c>
      <c r="K25" s="2"/>
      <c r="L25" s="1"/>
      <c r="M25" s="2"/>
    </row>
    <row r="26" spans="2:13" x14ac:dyDescent="0.4">
      <c r="B26" s="7"/>
      <c r="C26" s="7" t="s">
        <v>12</v>
      </c>
      <c r="D26" s="7" t="s">
        <v>13</v>
      </c>
      <c r="E26" s="7" t="s">
        <v>9</v>
      </c>
      <c r="F26" s="7" t="s">
        <v>15</v>
      </c>
      <c r="G26" s="7" t="s">
        <v>35</v>
      </c>
      <c r="H26" s="7" t="s">
        <v>20</v>
      </c>
      <c r="I26" s="7" t="s">
        <v>21</v>
      </c>
      <c r="J26" s="8" t="s">
        <v>22</v>
      </c>
      <c r="K26" s="8" t="s">
        <v>23</v>
      </c>
      <c r="L26" s="1"/>
      <c r="M26" s="2"/>
    </row>
    <row r="27" spans="2:13" x14ac:dyDescent="0.4">
      <c r="B27" s="7"/>
      <c r="C27" s="7">
        <v>10.7</v>
      </c>
      <c r="D27" s="7">
        <f>12.77</f>
        <v>12.77</v>
      </c>
      <c r="E27" s="7">
        <f>C27*D27</f>
        <v>136.63899999999998</v>
      </c>
      <c r="F27" s="7">
        <v>1.1000000000000001</v>
      </c>
      <c r="G27" s="7">
        <v>0.18</v>
      </c>
      <c r="H27" s="7">
        <v>1</v>
      </c>
      <c r="I27" s="7">
        <v>20</v>
      </c>
      <c r="J27" s="7">
        <f>I27-H27</f>
        <v>19</v>
      </c>
      <c r="K27" s="7">
        <f>F27*G27*E27*J27</f>
        <v>514.03591799999992</v>
      </c>
    </row>
    <row r="30" spans="2:13" x14ac:dyDescent="0.4">
      <c r="J30" s="11" t="s">
        <v>24</v>
      </c>
      <c r="K30" s="11">
        <f>K6+K7+K8+K9+K15+K21+K27</f>
        <v>2310.890778</v>
      </c>
    </row>
    <row r="31" spans="2:13" ht="15" thickBot="1" x14ac:dyDescent="0.45"/>
    <row r="32" spans="2:13" ht="15" thickBot="1" x14ac:dyDescent="0.45">
      <c r="B32" s="4" t="s">
        <v>26</v>
      </c>
    </row>
    <row r="34" spans="2:3" x14ac:dyDescent="0.4">
      <c r="B34" s="7" t="s">
        <v>28</v>
      </c>
      <c r="C34" s="7">
        <v>0.8</v>
      </c>
    </row>
    <row r="35" spans="2:3" x14ac:dyDescent="0.4">
      <c r="B35" s="7" t="s">
        <v>27</v>
      </c>
      <c r="C35" s="7">
        <f>C6*C7*D6</f>
        <v>1024.7924999999998</v>
      </c>
    </row>
    <row r="36" spans="2:3" x14ac:dyDescent="0.4">
      <c r="B36" s="7" t="s">
        <v>20</v>
      </c>
      <c r="C36" s="7">
        <v>1</v>
      </c>
    </row>
    <row r="37" spans="2:3" x14ac:dyDescent="0.4">
      <c r="B37" s="7" t="s">
        <v>21</v>
      </c>
      <c r="C37" s="7">
        <v>20</v>
      </c>
    </row>
    <row r="38" spans="2:3" x14ac:dyDescent="0.4">
      <c r="B38" s="7" t="s">
        <v>29</v>
      </c>
      <c r="C38" s="7">
        <f>C34*C35*(C37-C36)*0.347222222</f>
        <v>5408.6270798718115</v>
      </c>
    </row>
    <row r="41" spans="2:3" x14ac:dyDescent="0.4">
      <c r="B41" s="11" t="s">
        <v>30</v>
      </c>
      <c r="C41" s="11">
        <f>C38+K30</f>
        <v>7719.5178578718114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06D7-68D4-4EFF-8943-E81C343BC9AE}">
  <dimension ref="B1:M42"/>
  <sheetViews>
    <sheetView tabSelected="1" zoomScale="27" zoomScaleNormal="66" workbookViewId="0">
      <selection activeCell="K28" sqref="K28"/>
    </sheetView>
  </sheetViews>
  <sheetFormatPr defaultColWidth="34.07421875" defaultRowHeight="14.6" x14ac:dyDescent="0.4"/>
  <cols>
    <col min="1" max="16384" width="34.07421875" style="12"/>
  </cols>
  <sheetData>
    <row r="1" spans="2:10" ht="15" thickBot="1" x14ac:dyDescent="0.45"/>
    <row r="2" spans="2:10" ht="15" thickBot="1" x14ac:dyDescent="0.45">
      <c r="B2" s="13" t="s">
        <v>31</v>
      </c>
    </row>
    <row r="4" spans="2:10" x14ac:dyDescent="0.4">
      <c r="B4" s="15" t="s">
        <v>0</v>
      </c>
      <c r="C4" s="15" t="s">
        <v>19</v>
      </c>
    </row>
    <row r="5" spans="2:10" x14ac:dyDescent="0.4">
      <c r="B5" s="19"/>
      <c r="C5" s="19" t="s">
        <v>6</v>
      </c>
      <c r="D5" s="19" t="s">
        <v>5</v>
      </c>
      <c r="E5" s="19" t="s">
        <v>9</v>
      </c>
      <c r="F5" s="19" t="s">
        <v>35</v>
      </c>
      <c r="G5" s="18" t="s">
        <v>32</v>
      </c>
      <c r="H5" s="18" t="s">
        <v>34</v>
      </c>
    </row>
    <row r="6" spans="2:10" x14ac:dyDescent="0.4">
      <c r="B6" s="19" t="s">
        <v>1</v>
      </c>
      <c r="C6" s="19">
        <v>10.7</v>
      </c>
      <c r="D6" s="19">
        <v>7.5</v>
      </c>
      <c r="E6" s="19">
        <f>(C6*D6)-20</f>
        <v>60.25</v>
      </c>
      <c r="F6" s="19">
        <v>0.22</v>
      </c>
      <c r="G6" s="19">
        <v>7.5</v>
      </c>
      <c r="H6" s="19">
        <f>F6*E6*G6</f>
        <v>99.412500000000009</v>
      </c>
    </row>
    <row r="7" spans="2:10" x14ac:dyDescent="0.4">
      <c r="B7" s="19" t="s">
        <v>2</v>
      </c>
      <c r="C7" s="19">
        <v>12.77</v>
      </c>
      <c r="D7" s="19">
        <v>7.5</v>
      </c>
      <c r="E7" s="19">
        <f>C7*D7</f>
        <v>95.774999999999991</v>
      </c>
      <c r="F7" s="19">
        <v>0.22</v>
      </c>
      <c r="G7" s="19">
        <v>5</v>
      </c>
      <c r="H7" s="19">
        <f t="shared" ref="H7:H9" si="0">F7*E7*G7</f>
        <v>105.35249999999999</v>
      </c>
    </row>
    <row r="8" spans="2:10" x14ac:dyDescent="0.4">
      <c r="B8" s="19" t="s">
        <v>3</v>
      </c>
      <c r="C8" s="19">
        <v>10.7</v>
      </c>
      <c r="D8" s="19">
        <v>7.5</v>
      </c>
      <c r="E8" s="19">
        <f>C8*D8</f>
        <v>80.25</v>
      </c>
      <c r="F8" s="19">
        <v>0.22</v>
      </c>
      <c r="G8" s="19">
        <v>1.5</v>
      </c>
      <c r="H8" s="19">
        <f t="shared" si="0"/>
        <v>26.482500000000002</v>
      </c>
    </row>
    <row r="9" spans="2:10" x14ac:dyDescent="0.4">
      <c r="B9" s="19" t="s">
        <v>4</v>
      </c>
      <c r="C9" s="19">
        <v>12.77</v>
      </c>
      <c r="D9" s="19">
        <v>7.5</v>
      </c>
      <c r="E9" s="19">
        <f>C9*D9</f>
        <v>95.774999999999991</v>
      </c>
      <c r="F9" s="19">
        <v>0.22</v>
      </c>
      <c r="G9" s="19">
        <v>1</v>
      </c>
      <c r="H9" s="19">
        <f t="shared" si="0"/>
        <v>21.070499999999999</v>
      </c>
    </row>
    <row r="13" spans="2:10" ht="29.15" x14ac:dyDescent="0.4">
      <c r="B13" s="15" t="s">
        <v>11</v>
      </c>
      <c r="C13" s="16" t="s">
        <v>16</v>
      </c>
    </row>
    <row r="14" spans="2:10" x14ac:dyDescent="0.4">
      <c r="B14" s="19"/>
      <c r="C14" s="19" t="s">
        <v>12</v>
      </c>
      <c r="D14" s="19" t="s">
        <v>13</v>
      </c>
      <c r="E14" s="19" t="s">
        <v>9</v>
      </c>
      <c r="F14" s="19" t="s">
        <v>35</v>
      </c>
      <c r="G14" s="19" t="s">
        <v>36</v>
      </c>
      <c r="H14" s="19" t="s">
        <v>21</v>
      </c>
      <c r="I14" s="18" t="s">
        <v>22</v>
      </c>
      <c r="J14" s="18" t="s">
        <v>38</v>
      </c>
    </row>
    <row r="15" spans="2:10" x14ac:dyDescent="0.4">
      <c r="B15" s="19"/>
      <c r="C15" s="19">
        <v>10.7</v>
      </c>
      <c r="D15" s="19">
        <f>12.77</f>
        <v>12.77</v>
      </c>
      <c r="E15" s="19">
        <f>C15*D15</f>
        <v>136.63899999999998</v>
      </c>
      <c r="F15" s="19">
        <v>0.28000000000000003</v>
      </c>
      <c r="G15" s="19">
        <v>12</v>
      </c>
      <c r="H15" s="19">
        <v>23</v>
      </c>
      <c r="I15" s="19">
        <f>G15-H15</f>
        <v>-11</v>
      </c>
      <c r="J15" s="19">
        <f>F15*E15*I15</f>
        <v>-420.84811999999994</v>
      </c>
    </row>
    <row r="18" spans="2:13" ht="29.15" x14ac:dyDescent="0.4">
      <c r="B18" s="15" t="s">
        <v>7</v>
      </c>
      <c r="C18" s="16" t="s">
        <v>18</v>
      </c>
      <c r="H18" s="2"/>
      <c r="I18" s="1"/>
      <c r="J18" s="1"/>
    </row>
    <row r="19" spans="2:13" x14ac:dyDescent="0.4">
      <c r="B19" s="19"/>
      <c r="C19" s="19" t="s">
        <v>6</v>
      </c>
      <c r="D19" s="19" t="s">
        <v>5</v>
      </c>
      <c r="E19" s="19" t="s">
        <v>10</v>
      </c>
      <c r="F19" s="19" t="s">
        <v>35</v>
      </c>
      <c r="G19" s="19" t="s">
        <v>20</v>
      </c>
      <c r="H19" s="19" t="s">
        <v>21</v>
      </c>
      <c r="I19" s="18" t="s">
        <v>22</v>
      </c>
      <c r="J19" s="18" t="s">
        <v>39</v>
      </c>
      <c r="K19" s="18" t="s">
        <v>37</v>
      </c>
      <c r="L19" s="18" t="s">
        <v>42</v>
      </c>
      <c r="M19" s="18" t="s">
        <v>41</v>
      </c>
    </row>
    <row r="20" spans="2:13" x14ac:dyDescent="0.4">
      <c r="B20" s="19" t="s">
        <v>8</v>
      </c>
      <c r="C20" s="19">
        <v>2.5</v>
      </c>
      <c r="D20" s="19">
        <v>2</v>
      </c>
      <c r="E20" s="19">
        <f>(C20*D20)*4</f>
        <v>20</v>
      </c>
      <c r="F20" s="19">
        <v>1.2</v>
      </c>
      <c r="G20" s="20">
        <v>26</v>
      </c>
      <c r="H20" s="19">
        <v>23</v>
      </c>
      <c r="I20" s="20">
        <f>G20-H20</f>
        <v>3</v>
      </c>
      <c r="J20" s="19">
        <v>428</v>
      </c>
      <c r="K20" s="19">
        <v>0.67500000000000004</v>
      </c>
      <c r="L20" s="19">
        <f>J20*K20*E20</f>
        <v>5778.0000000000009</v>
      </c>
      <c r="M20" s="19">
        <f>L20+(F20*E20*I20)</f>
        <v>5850.0000000000009</v>
      </c>
    </row>
    <row r="24" spans="2:13" ht="29.15" x14ac:dyDescent="0.4">
      <c r="B24" s="15" t="s">
        <v>14</v>
      </c>
      <c r="C24" s="16" t="s">
        <v>17</v>
      </c>
      <c r="K24" s="2"/>
    </row>
    <row r="25" spans="2:13" x14ac:dyDescent="0.4">
      <c r="B25" s="19"/>
      <c r="C25" s="19" t="s">
        <v>12</v>
      </c>
      <c r="D25" s="19" t="s">
        <v>13</v>
      </c>
      <c r="E25" s="19" t="s">
        <v>9</v>
      </c>
      <c r="F25" s="19" t="s">
        <v>35</v>
      </c>
      <c r="G25" s="18" t="s">
        <v>32</v>
      </c>
      <c r="H25" s="18" t="s">
        <v>40</v>
      </c>
      <c r="I25" s="14"/>
    </row>
    <row r="26" spans="2:13" x14ac:dyDescent="0.4">
      <c r="B26" s="19"/>
      <c r="C26" s="19">
        <v>10.7</v>
      </c>
      <c r="D26" s="19">
        <f>12.77</f>
        <v>12.77</v>
      </c>
      <c r="E26" s="19">
        <f>C26*D26</f>
        <v>136.63899999999998</v>
      </c>
      <c r="F26" s="19">
        <v>0.18</v>
      </c>
      <c r="G26" s="19">
        <v>10</v>
      </c>
      <c r="H26" s="19">
        <f>E26*F26*G26</f>
        <v>245.95019999999994</v>
      </c>
    </row>
    <row r="28" spans="2:13" ht="15" thickBot="1" x14ac:dyDescent="0.45"/>
    <row r="29" spans="2:13" ht="15" thickBot="1" x14ac:dyDescent="0.45">
      <c r="B29" s="13" t="s">
        <v>43</v>
      </c>
    </row>
    <row r="31" spans="2:13" ht="60.55" customHeight="1" x14ac:dyDescent="0.4">
      <c r="B31" s="15" t="s">
        <v>44</v>
      </c>
      <c r="C31" s="16" t="s">
        <v>45</v>
      </c>
    </row>
    <row r="32" spans="2:13" x14ac:dyDescent="0.4">
      <c r="B32" s="19"/>
      <c r="C32" s="19" t="s">
        <v>46</v>
      </c>
      <c r="D32" s="19" t="s">
        <v>47</v>
      </c>
      <c r="E32" s="19" t="s">
        <v>48</v>
      </c>
      <c r="F32" s="19" t="s">
        <v>49</v>
      </c>
    </row>
    <row r="33" spans="2:8" x14ac:dyDescent="0.4">
      <c r="B33" s="19"/>
      <c r="C33" s="19">
        <v>3</v>
      </c>
      <c r="D33" s="19">
        <v>72.5</v>
      </c>
      <c r="E33" s="19">
        <v>52.5</v>
      </c>
      <c r="F33" s="19">
        <f>C33*(D33+E33)</f>
        <v>375</v>
      </c>
    </row>
    <row r="35" spans="2:8" ht="15" thickBot="1" x14ac:dyDescent="0.45"/>
    <row r="36" spans="2:8" x14ac:dyDescent="0.4">
      <c r="B36" s="17" t="s">
        <v>51</v>
      </c>
      <c r="C36" s="19" t="s">
        <v>50</v>
      </c>
    </row>
    <row r="37" spans="2:8" x14ac:dyDescent="0.4">
      <c r="B37" s="19"/>
      <c r="C37" s="19" t="s">
        <v>9</v>
      </c>
      <c r="D37" s="19" t="s">
        <v>52</v>
      </c>
      <c r="E37" s="19" t="s">
        <v>53</v>
      </c>
    </row>
    <row r="38" spans="2:8" x14ac:dyDescent="0.4">
      <c r="B38" s="19"/>
      <c r="C38" s="19">
        <v>136.63900000000001</v>
      </c>
      <c r="D38" s="19">
        <v>12.5</v>
      </c>
      <c r="E38" s="19">
        <f>C38*D38</f>
        <v>1707.9875000000002</v>
      </c>
    </row>
    <row r="42" spans="2:8" x14ac:dyDescent="0.4">
      <c r="G42" s="21" t="s">
        <v>54</v>
      </c>
      <c r="H42" s="21">
        <f>E38+F33+H26+M20+J15+H6+H7+H8+H9</f>
        <v>8010.407580000001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shokri</dc:creator>
  <cp:lastModifiedBy>amirhossein shokri</cp:lastModifiedBy>
  <dcterms:created xsi:type="dcterms:W3CDTF">2025-05-29T12:03:59Z</dcterms:created>
  <dcterms:modified xsi:type="dcterms:W3CDTF">2025-05-30T14:53:27Z</dcterms:modified>
</cp:coreProperties>
</file>